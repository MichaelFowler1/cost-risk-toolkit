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Warning signs" sheetId="3" state="visible" r:id="rId3"/>
    <sheet xmlns:r="http://schemas.openxmlformats.org/officeDocument/2006/relationships" name="Forecast" sheetId="4" state="visible" r:id="rId4"/>
    <sheet xmlns:r="http://schemas.openxmlformats.org/officeDocument/2006/relationships" name="Accounts" sheetId="5" state="visible" r:id="rId5"/>
    <sheet xmlns:r="http://schemas.openxmlformats.org/officeDocument/2006/relationships" name="Data checks" sheetId="6" state="visible" r:id="rId6"/>
    <sheet xmlns:r="http://schemas.openxmlformats.org/officeDocument/2006/relationships" name="Variance reports" sheetId="7" state="visible" r:id="rId7"/>
    <sheet xmlns:r="http://schemas.openxmlformats.org/officeDocument/2006/relationships" name="Assumptions" sheetId="8" state="visible" r:id="rId8"/>
  </sheets>
  <definedNames>
    <definedName name="_xlnm._FilterDatabase" localSheetId="2" hidden="1">'Warning signs'!$A$1:$C$7</definedName>
    <definedName name="_xlnm._FilterDatabase" localSheetId="3" hidden="1">'Forecast'!$A$3:$C$12</definedName>
    <definedName name="_xlnm._FilterDatabase" localSheetId="4" hidden="1">'Accounts'!$A$3:$K$6</definedName>
    <definedName name="_xlnm._FilterDatabase" localSheetId="6" hidden="1">'Variance reports'!$A$3:$H$5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0.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b val="1"/>
    </font>
    <font>
      <b val="1"/>
      <color rgb="00FFFFFF"/>
    </font>
    <font>
      <color rgb="001F4E7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2" fillId="0" borderId="0" applyAlignment="1" pivotButton="0" quotePrefix="0" xfId="0">
      <alignment wrapText="1"/>
    </xf>
    <xf numFmtId="0" fontId="4" fillId="2" borderId="0" applyAlignment="1" pivotButton="0" quotePrefix="0" xfId="0">
      <alignment wrapText="1"/>
    </xf>
    <xf numFmtId="3" fontId="5" fillId="0" borderId="0" pivotButton="0" quotePrefix="0" xfId="0"/>
    <xf numFmtId="0" fontId="4" fillId="2" borderId="0" applyAlignment="1" pivotButton="0" quotePrefix="0" xfId="0">
      <alignment vertical="center" wrapText="1"/>
    </xf>
    <xf numFmtId="9" fontId="0" fillId="0" borderId="0" pivotButton="0" quotePrefix="0" xfId="0"/>
    <xf numFmtId="166" fontId="0" fillId="0" borderId="0" pivotButton="0" quotePrefix="0" xfId="0"/>
    <xf numFmtId="0" fontId="4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BCWS, BCWP and ACWP</a:t>
            </a:r>
          </a:p>
        </rich>
      </tx>
    </title>
    <plotArea>
      <lineChart>
        <grouping val="standard"/>
        <ser>
          <idx val="0"/>
          <order val="0"/>
          <tx>
            <strRef>
              <f>'Metrics'!C3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'Metrics'!$A$4:$A$17</f>
            </numRef>
          </cat>
          <val>
            <numRef>
              <f>'Metrics'!$C$4:$C$17</f>
            </numRef>
          </val>
          <smooth val="0"/>
        </ser>
        <ser>
          <idx val="1"/>
          <order val="1"/>
          <tx>
            <strRef>
              <f>'Metrics'!D3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'Metrics'!$A$4:$A$17</f>
            </numRef>
          </cat>
          <val>
            <numRef>
              <f>'Metrics'!$D$4:$D$17</f>
            </numRef>
          </val>
          <smooth val="0"/>
        </ser>
        <ser>
          <idx val="2"/>
          <order val="2"/>
          <tx>
            <strRef>
              <f>'Metrics'!E3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'Metrics'!$A$4:$A$17</f>
            </numRef>
          </cat>
          <val>
            <numRef>
              <f>'Metrics'!$E$4:$E$17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CPI, SPI and SPI(t)</a:t>
            </a:r>
          </a:p>
        </rich>
      </tx>
    </title>
    <plotArea>
      <lineChart>
        <grouping val="standard"/>
        <ser>
          <idx val="0"/>
          <order val="0"/>
          <tx>
            <strRef>
              <f>'Metrics'!H3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'Metrics'!$A$4:$A$17</f>
            </numRef>
          </cat>
          <val>
            <numRef>
              <f>'Metrics'!$H$4:$H$17</f>
            </numRef>
          </val>
          <smooth val="0"/>
        </ser>
        <ser>
          <idx val="1"/>
          <order val="1"/>
          <tx>
            <strRef>
              <f>'Metrics'!I3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'Metrics'!$A$4:$A$17</f>
            </numRef>
          </cat>
          <val>
            <numRef>
              <f>'Metrics'!$I$4:$I$17</f>
            </numRef>
          </val>
          <smooth val="0"/>
        </ser>
        <ser>
          <idx val="2"/>
          <order val="2"/>
          <tx>
            <strRef>
              <f>'Metrics'!N3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'Metrics'!$A$4:$A$17</f>
            </numRef>
          </cat>
          <val>
            <numRef>
              <f>'Metrics'!$N$4:$N$17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1"/>
          <min val="0.4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Final cost S-curve</a:t>
            </a:r>
          </a:p>
        </rich>
      </tx>
    </title>
    <plotArea>
      <scatterChart>
        <ser>
          <idx val="0"/>
          <order val="0"/>
          <tx>
            <v>EAC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'Forecast'!$B$4:$B$12</f>
            </numRef>
          </xVal>
          <yVal>
            <numRef>
              <f>'Forecast'!$A$4:$A$12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cost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Confidence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19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19</row>
      <rowOff>0</rowOff>
    </from>
    <ext cx="64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Earned value: evm_example</t>
        </is>
      </c>
    </row>
    <row r="2">
      <c r="A2" s="2" t="inlineStr">
        <is>
          <t>Status period 2026-11. Costs in as entered.</t>
        </is>
      </c>
    </row>
    <row r="4">
      <c r="A4" s="3" t="inlineStr">
        <is>
          <t>What this means</t>
        </is>
      </c>
    </row>
    <row r="5" ht="30" customHeight="1">
      <c r="A5" s="4" t="inlineStr">
        <is>
          <t>- Each dollar spent so far has bought 90 cents' worth of the planned work: the work done has cost 11% over its budget.</t>
        </is>
      </c>
    </row>
    <row r="6" ht="30" customHeight="1">
      <c r="A6" s="4" t="inlineStr">
        <is>
          <t>- It is 2.2 reporting periods behind schedule, and at this pace finishes around period 35 of a 30-period plan.</t>
        </is>
      </c>
    </row>
    <row r="7" ht="30" customHeight="1">
      <c r="A7" s="4" t="inlineStr">
        <is>
          <t>- The most likely final cost is about 17,016; plan on 17,151 to be 80% sure. The budget of 15,500 has almost no chance (none of the simulations) of being enough.</t>
        </is>
      </c>
    </row>
    <row r="8" ht="30" customHeight="1">
      <c r="A8" s="4" t="inlineStr">
        <is>
          <t>- The contractor's estimate of 16,300 has less than a 1% chance of holding, so it is optimistic: it needs the rest of the program to go better than the record so far.</t>
        </is>
      </c>
    </row>
    <row r="9" ht="15" customHeight="1">
      <c r="A9" s="4" t="inlineStr">
        <is>
          <t>- There is 1 warning sign, on the Warning signs sheet; start with it.</t>
        </is>
      </c>
    </row>
    <row r="10" ht="30" customHeight="1">
      <c r="A10" s="4" t="inlineStr">
        <is>
          <t>- 2 accounts break the variance thresholds and owe a variance analysis report: '1.1 Air vehicle', '1.2 Software'.</t>
        </is>
      </c>
    </row>
    <row r="12">
      <c r="A12" s="3" t="inlineStr">
        <is>
          <t>Key numbers</t>
        </is>
      </c>
    </row>
    <row r="13">
      <c r="A13" t="inlineStr">
        <is>
          <t>Budget at completion (BAC)</t>
        </is>
      </c>
      <c r="B13" s="5" t="n">
        <v>15500.4</v>
      </c>
    </row>
    <row r="14">
      <c r="A14" t="inlineStr">
        <is>
          <t>Percent complete</t>
        </is>
      </c>
      <c r="B14" s="6" t="n">
        <v>0.3244238858352043</v>
      </c>
    </row>
    <row r="15">
      <c r="A15" t="inlineStr">
        <is>
          <t>CPI</t>
        </is>
      </c>
      <c r="B15" s="7" t="n">
        <v>0.9023974446398451</v>
      </c>
    </row>
    <row r="16">
      <c r="A16" t="inlineStr">
        <is>
          <t>SPI</t>
        </is>
      </c>
      <c r="B16" s="7" t="n">
        <v>0.7304379403006754</v>
      </c>
    </row>
    <row r="17">
      <c r="A17" t="inlineStr">
        <is>
          <t>SPI(t)</t>
        </is>
      </c>
      <c r="B17" s="7" t="n">
        <v>0.8417514763161201</v>
      </c>
    </row>
    <row r="18">
      <c r="A18" t="inlineStr">
        <is>
          <t>Schedule variance, periods (SV(t))</t>
        </is>
      </c>
      <c r="B18" s="8" t="n">
        <v>-2.215479331574318</v>
      </c>
    </row>
    <row r="19">
      <c r="A19" t="inlineStr">
        <is>
          <t>Forecast final cost, P50</t>
        </is>
      </c>
      <c r="B19" s="5" t="n">
        <v>17015.68132135922</v>
      </c>
    </row>
    <row r="20">
      <c r="A20" t="inlineStr">
        <is>
          <t>Forecast final cost, P80</t>
        </is>
      </c>
      <c r="B20" s="5" t="n">
        <v>17150.65948763002</v>
      </c>
    </row>
    <row r="21">
      <c r="A21" t="inlineStr">
        <is>
          <t>Forecast finish period, P50</t>
        </is>
      </c>
      <c r="B21" s="8" t="n">
        <v>34.98733419342318</v>
      </c>
    </row>
    <row r="22">
      <c r="A22" t="inlineStr">
        <is>
          <t>Forecast finish period, P80</t>
        </is>
      </c>
      <c r="B22" s="8" t="n">
        <v>35.85913015834853</v>
      </c>
    </row>
    <row r="23">
      <c r="A23" t="inlineStr">
        <is>
          <t>Planned duration, periods</t>
        </is>
      </c>
      <c r="B23" s="9" t="n">
        <v>30</v>
      </c>
    </row>
    <row r="24">
      <c r="A24" t="inlineStr">
        <is>
          <t>Chance BAC is enough</t>
        </is>
      </c>
      <c r="B24" s="6" t="n">
        <v>0</v>
      </c>
    </row>
    <row r="25">
      <c r="A25" t="inlineStr">
        <is>
          <t>Contractor EAC</t>
        </is>
      </c>
      <c r="B25" s="5" t="n">
        <v>16300</v>
      </c>
    </row>
    <row r="26">
      <c r="A26" t="inlineStr">
        <is>
          <t>Chance the contractor EAC holds</t>
        </is>
      </c>
      <c r="B26" s="6" t="n">
        <v>0.00155</v>
      </c>
    </row>
    <row r="28" ht="30" customHeight="1">
      <c r="A28" s="10" t="inlineStr">
        <is>
          <t>The Metrics sheet computes CV, SV, CPI, SPI, TCPI and the CPI-based EAC with Excel formulas from the BCWS, BCWP and ACWP beside them; click a cell to see how it was made.</t>
        </is>
      </c>
    </row>
  </sheetData>
  <mergeCells count="7">
    <mergeCell ref="A5:D5"/>
    <mergeCell ref="A9:D9"/>
    <mergeCell ref="A8:D8"/>
    <mergeCell ref="A6:D6"/>
    <mergeCell ref="A7:D7"/>
    <mergeCell ref="A10:D10"/>
    <mergeCell ref="A28:D28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14" customWidth="1" min="3" max="3"/>
    <col width="14" customWidth="1" min="4" max="4"/>
    <col width="14" customWidth="1" min="5" max="5"/>
    <col width="13" customWidth="1" min="6" max="6"/>
    <col width="13" customWidth="1" min="7" max="7"/>
    <col width="8" customWidth="1" min="8" max="8"/>
    <col width="8" customWidth="1" min="9" max="9"/>
    <col width="10" customWidth="1" min="10" max="10"/>
    <col width="10" customWidth="1" min="11" max="11"/>
    <col width="15" customWidth="1" min="12" max="12"/>
    <col width="8" customWidth="1" min="13" max="13"/>
    <col width="8" customWidth="1" min="14" max="14"/>
    <col width="14" customWidth="1" min="15" max="15"/>
  </cols>
  <sheetData>
    <row r="1">
      <c r="A1" s="3" t="inlineStr">
        <is>
          <t>BAC</t>
        </is>
      </c>
      <c r="C1" s="5" t="n">
        <v>15500.4</v>
      </c>
      <c r="E1" s="2" t="inlineStr">
        <is>
          <t>Blue columns are the data; the rest are Excel formulas on them and on BAC, except ES, which needs the baseline's shape and is a computed value.</t>
        </is>
      </c>
    </row>
    <row r="3" ht="30" customHeight="1">
      <c r="A3" s="11" t="inlineStr">
        <is>
          <t>Period</t>
        </is>
      </c>
      <c r="B3" s="11" t="inlineStr">
        <is>
          <t>Time</t>
        </is>
      </c>
      <c r="C3" s="11" t="inlineStr">
        <is>
          <t>BCWS (cum)</t>
        </is>
      </c>
      <c r="D3" s="11" t="inlineStr">
        <is>
          <t>BCWP (cum)</t>
        </is>
      </c>
      <c r="E3" s="11" t="inlineStr">
        <is>
          <t>ACWP (cum)</t>
        </is>
      </c>
      <c r="F3" s="11" t="inlineStr">
        <is>
          <t>CV</t>
        </is>
      </c>
      <c r="G3" s="11" t="inlineStr">
        <is>
          <t>SV</t>
        </is>
      </c>
      <c r="H3" s="11" t="inlineStr">
        <is>
          <t>CPI</t>
        </is>
      </c>
      <c r="I3" s="11" t="inlineStr">
        <is>
          <t>SPI</t>
        </is>
      </c>
      <c r="J3" s="11" t="inlineStr">
        <is>
          <t>% complete</t>
        </is>
      </c>
      <c r="K3" s="11" t="inlineStr">
        <is>
          <t>TCPI (to BAC)</t>
        </is>
      </c>
      <c r="L3" s="11" t="inlineStr">
        <is>
          <t>IEAC (CPI)</t>
        </is>
      </c>
      <c r="M3" s="11" t="inlineStr">
        <is>
          <t>ES</t>
        </is>
      </c>
      <c r="N3" s="11" t="inlineStr">
        <is>
          <t>SPI(t)</t>
        </is>
      </c>
      <c r="O3" s="11" t="inlineStr">
        <is>
          <t>Contractor EAC</t>
        </is>
      </c>
    </row>
    <row r="4">
      <c r="A4" t="inlineStr">
        <is>
          <t>2025-10</t>
        </is>
      </c>
      <c r="B4" t="n">
        <v>1</v>
      </c>
      <c r="C4" s="12" t="n">
        <v>32.5</v>
      </c>
      <c r="D4" s="12" t="n">
        <v>24.9</v>
      </c>
      <c r="E4" s="12" t="n">
        <v>28</v>
      </c>
      <c r="F4" s="5">
        <f>D4-E4</f>
        <v/>
      </c>
      <c r="G4" s="5">
        <f>D4-C4</f>
        <v/>
      </c>
      <c r="H4" s="7">
        <f>IF(E4=0,"",D4/E4)</f>
        <v/>
      </c>
      <c r="I4" s="7">
        <f>IF(C4=0,"",D4/C4)</f>
        <v/>
      </c>
      <c r="J4" s="6">
        <f>D4/$C$1</f>
        <v/>
      </c>
      <c r="K4" s="7">
        <f>IF($C$1-E4=0,"",($C$1-D4)/($C$1-E4))</f>
        <v/>
      </c>
      <c r="L4" s="5">
        <f>IF(OR(H4="",H4=0),"",E4+($C$1-D4)/H4)</f>
        <v/>
      </c>
      <c r="M4" s="8" t="n">
        <v>0.7661538461538461</v>
      </c>
      <c r="N4" s="7">
        <f>IF(B4=0,"",M4/B4)</f>
        <v/>
      </c>
      <c r="O4" s="5" t="n">
        <v>15500</v>
      </c>
    </row>
    <row r="5">
      <c r="A5" t="inlineStr">
        <is>
          <t>2025-11</t>
        </is>
      </c>
      <c r="B5" t="n">
        <v>2</v>
      </c>
      <c r="C5" s="12" t="n">
        <v>127</v>
      </c>
      <c r="D5" s="12" t="n">
        <v>75.69999999999999</v>
      </c>
      <c r="E5" s="12" t="n">
        <v>82.10000000000001</v>
      </c>
      <c r="F5" s="5">
        <f>D5-E5</f>
        <v/>
      </c>
      <c r="G5" s="5">
        <f>D5-C5</f>
        <v/>
      </c>
      <c r="H5" s="7">
        <f>IF(E5=0,"",D5/E5)</f>
        <v/>
      </c>
      <c r="I5" s="7">
        <f>IF(C5=0,"",D5/C5)</f>
        <v/>
      </c>
      <c r="J5" s="6">
        <f>D5/$C$1</f>
        <v/>
      </c>
      <c r="K5" s="7">
        <f>IF($C$1-E5=0,"",($C$1-D5)/($C$1-E5))</f>
        <v/>
      </c>
      <c r="L5" s="5">
        <f>IF(OR(H5="",H5=0),"",E5+($C$1-D5)/H5)</f>
        <v/>
      </c>
      <c r="M5" s="8" t="n">
        <v>1.457142857142857</v>
      </c>
      <c r="N5" s="7">
        <f>IF(B5=0,"",M5/B5)</f>
        <v/>
      </c>
      <c r="O5" s="5" t="n">
        <v>15561.5</v>
      </c>
    </row>
    <row r="6">
      <c r="A6" t="inlineStr">
        <is>
          <t>2025-12</t>
        </is>
      </c>
      <c r="B6" t="n">
        <v>3</v>
      </c>
      <c r="C6" s="12" t="n">
        <v>294.1</v>
      </c>
      <c r="D6" s="12" t="n">
        <v>171.3</v>
      </c>
      <c r="E6" s="12" t="n">
        <v>188.7</v>
      </c>
      <c r="F6" s="5">
        <f>D6-E6</f>
        <v/>
      </c>
      <c r="G6" s="5">
        <f>D6-C6</f>
        <v/>
      </c>
      <c r="H6" s="7">
        <f>IF(E6=0,"",D6/E6)</f>
        <v/>
      </c>
      <c r="I6" s="7">
        <f>IF(C6=0,"",D6/C6)</f>
        <v/>
      </c>
      <c r="J6" s="6">
        <f>D6/$C$1</f>
        <v/>
      </c>
      <c r="K6" s="7">
        <f>IF($C$1-E6=0,"",($C$1-D6)/($C$1-E6))</f>
        <v/>
      </c>
      <c r="L6" s="5">
        <f>IF(OR(H6="",H6=0),"",E6+($C$1-D6)/H6)</f>
        <v/>
      </c>
      <c r="M6" s="8" t="n">
        <v>2.265110712148414</v>
      </c>
      <c r="N6" s="7">
        <f>IF(B6=0,"",M6/B6)</f>
        <v/>
      </c>
      <c r="O6" s="5" t="n">
        <v>15623</v>
      </c>
    </row>
    <row r="7">
      <c r="A7" t="inlineStr">
        <is>
          <t>2026-01</t>
        </is>
      </c>
      <c r="B7" t="n">
        <v>4</v>
      </c>
      <c r="C7" s="12" t="n">
        <v>539.5</v>
      </c>
      <c r="D7" s="12" t="n">
        <v>310.3</v>
      </c>
      <c r="E7" s="12" t="n">
        <v>346</v>
      </c>
      <c r="F7" s="5">
        <f>D7-E7</f>
        <v/>
      </c>
      <c r="G7" s="5">
        <f>D7-C7</f>
        <v/>
      </c>
      <c r="H7" s="7">
        <f>IF(E7=0,"",D7/E7)</f>
        <v/>
      </c>
      <c r="I7" s="7">
        <f>IF(C7=0,"",D7/C7)</f>
        <v/>
      </c>
      <c r="J7" s="6">
        <f>D7/$C$1</f>
        <v/>
      </c>
      <c r="K7" s="7">
        <f>IF($C$1-E7=0,"",($C$1-D7)/($C$1-E7))</f>
        <v/>
      </c>
      <c r="L7" s="5">
        <f>IF(OR(H7="",H7=0),"",E7+($C$1-D7)/H7)</f>
        <v/>
      </c>
      <c r="M7" s="8" t="n">
        <v>3.06601466992665</v>
      </c>
      <c r="N7" s="7">
        <f>IF(B7=0,"",M7/B7)</f>
        <v/>
      </c>
      <c r="O7" s="5" t="n">
        <v>15684.6</v>
      </c>
    </row>
    <row r="8">
      <c r="A8" t="inlineStr">
        <is>
          <t>2026-02</t>
        </is>
      </c>
      <c r="B8" t="n">
        <v>5</v>
      </c>
      <c r="C8" s="12" t="n">
        <v>866.0999999999999</v>
      </c>
      <c r="D8" s="12" t="n">
        <v>498.4</v>
      </c>
      <c r="E8" s="12" t="n">
        <v>558.7</v>
      </c>
      <c r="F8" s="5">
        <f>D8-E8</f>
        <v/>
      </c>
      <c r="G8" s="5">
        <f>D8-C8</f>
        <v/>
      </c>
      <c r="H8" s="7">
        <f>IF(E8=0,"",D8/E8)</f>
        <v/>
      </c>
      <c r="I8" s="7">
        <f>IF(C8=0,"",D8/C8)</f>
        <v/>
      </c>
      <c r="J8" s="6">
        <f>D8/$C$1</f>
        <v/>
      </c>
      <c r="K8" s="7">
        <f>IF($C$1-E8=0,"",($C$1-D8)/($C$1-E8))</f>
        <v/>
      </c>
      <c r="L8" s="5">
        <f>IF(OR(H8="",H8=0),"",E8+($C$1-D8)/H8)</f>
        <v/>
      </c>
      <c r="M8" s="8" t="n">
        <v>3.832518337408313</v>
      </c>
      <c r="N8" s="7">
        <f>IF(B8=0,"",M8/B8)</f>
        <v/>
      </c>
      <c r="O8" s="5" t="n">
        <v>15746.2</v>
      </c>
    </row>
    <row r="9">
      <c r="A9" t="inlineStr">
        <is>
          <t>2026-03</t>
        </is>
      </c>
      <c r="B9" t="n">
        <v>6</v>
      </c>
      <c r="C9" s="12" t="n">
        <v>1274</v>
      </c>
      <c r="D9" s="12" t="n">
        <v>760.3000000000001</v>
      </c>
      <c r="E9" s="12" t="n">
        <v>846</v>
      </c>
      <c r="F9" s="5">
        <f>D9-E9</f>
        <v/>
      </c>
      <c r="G9" s="5">
        <f>D9-C9</f>
        <v/>
      </c>
      <c r="H9" s="7">
        <f>IF(E9=0,"",D9/E9)</f>
        <v/>
      </c>
      <c r="I9" s="7">
        <f>IF(C9=0,"",D9/C9)</f>
        <v/>
      </c>
      <c r="J9" s="6">
        <f>D9/$C$1</f>
        <v/>
      </c>
      <c r="K9" s="7">
        <f>IF($C$1-E9=0,"",($C$1-D9)/($C$1-E9))</f>
        <v/>
      </c>
      <c r="L9" s="5">
        <f>IF(OR(H9="",H9=0),"",E9+($C$1-D9)/H9)</f>
        <v/>
      </c>
      <c r="M9" s="8" t="n">
        <v>4.67605633802817</v>
      </c>
      <c r="N9" s="7">
        <f>IF(B9=0,"",M9/B9)</f>
        <v/>
      </c>
      <c r="O9" s="5" t="n">
        <v>15807.6</v>
      </c>
    </row>
    <row r="10">
      <c r="A10" t="inlineStr">
        <is>
          <t>2026-04</t>
        </is>
      </c>
      <c r="B10" t="n">
        <v>7</v>
      </c>
      <c r="C10" s="12" t="n">
        <v>1761.4</v>
      </c>
      <c r="D10" s="12" t="n">
        <v>1070</v>
      </c>
      <c r="E10" s="12" t="n">
        <v>1198.1</v>
      </c>
      <c r="F10" s="5">
        <f>D10-E10</f>
        <v/>
      </c>
      <c r="G10" s="5">
        <f>D10-C10</f>
        <v/>
      </c>
      <c r="H10" s="7">
        <f>IF(E10=0,"",D10/E10)</f>
        <v/>
      </c>
      <c r="I10" s="7">
        <f>IF(C10=0,"",D10/C10)</f>
        <v/>
      </c>
      <c r="J10" s="6">
        <f>D10/$C$1</f>
        <v/>
      </c>
      <c r="K10" s="7">
        <f>IF($C$1-E10=0,"",($C$1-D10)/($C$1-E10))</f>
        <v/>
      </c>
      <c r="L10" s="5">
        <f>IF(OR(H10="",H10=0),"",E10+($C$1-D10)/H10)</f>
        <v/>
      </c>
      <c r="M10" s="8" t="n">
        <v>5.499877420936504</v>
      </c>
      <c r="N10" s="7">
        <f>IF(B10=0,"",M10/B10)</f>
        <v/>
      </c>
      <c r="O10" s="5" t="n">
        <v>15869.2</v>
      </c>
    </row>
    <row r="11">
      <c r="A11" t="inlineStr">
        <is>
          <t>2026-05</t>
        </is>
      </c>
      <c r="B11" t="n">
        <v>8</v>
      </c>
      <c r="C11" s="12" t="n">
        <v>2324.4</v>
      </c>
      <c r="D11" s="12" t="n">
        <v>1424</v>
      </c>
      <c r="E11" s="12" t="n">
        <v>1608.5</v>
      </c>
      <c r="F11" s="5">
        <f>D11-E11</f>
        <v/>
      </c>
      <c r="G11" s="5">
        <f>D11-C11</f>
        <v/>
      </c>
      <c r="H11" s="7">
        <f>IF(E11=0,"",D11/E11)</f>
        <v/>
      </c>
      <c r="I11" s="7">
        <f>IF(C11=0,"",D11/C11)</f>
        <v/>
      </c>
      <c r="J11" s="6">
        <f>D11/$C$1</f>
        <v/>
      </c>
      <c r="K11" s="7">
        <f>IF($C$1-E11=0,"",($C$1-D11)/($C$1-E11))</f>
        <v/>
      </c>
      <c r="L11" s="5">
        <f>IF(OR(H11="",H11=0),"",E11+($C$1-D11)/H11)</f>
        <v/>
      </c>
      <c r="M11" s="8" t="n">
        <v>6.30775543701272</v>
      </c>
      <c r="N11" s="7">
        <f>IF(B11=0,"",M11/B11)</f>
        <v/>
      </c>
      <c r="O11" s="5" t="n">
        <v>15930.8</v>
      </c>
    </row>
    <row r="12">
      <c r="A12" t="inlineStr">
        <is>
          <t>2026-06</t>
        </is>
      </c>
      <c r="B12" t="n">
        <v>9</v>
      </c>
      <c r="C12" s="12" t="n">
        <v>2957.5</v>
      </c>
      <c r="D12" s="12" t="n">
        <v>1860.2</v>
      </c>
      <c r="E12" s="12" t="n">
        <v>2097.2</v>
      </c>
      <c r="F12" s="5">
        <f>D12-E12</f>
        <v/>
      </c>
      <c r="G12" s="5">
        <f>D12-C12</f>
        <v/>
      </c>
      <c r="H12" s="7">
        <f>IF(E12=0,"",D12/E12)</f>
        <v/>
      </c>
      <c r="I12" s="7">
        <f>IF(C12=0,"",D12/C12)</f>
        <v/>
      </c>
      <c r="J12" s="6">
        <f>D12/$C$1</f>
        <v/>
      </c>
      <c r="K12" s="7">
        <f>IF($C$1-E12=0,"",($C$1-D12)/($C$1-E12))</f>
        <v/>
      </c>
      <c r="L12" s="5">
        <f>IF(OR(H12="",H12=0),"",E12+($C$1-D12)/H12)</f>
        <v/>
      </c>
      <c r="M12" s="8" t="n">
        <v>7.175488454706927</v>
      </c>
      <c r="N12" s="7">
        <f>IF(B12=0,"",M12/B12)</f>
        <v/>
      </c>
      <c r="O12" s="5" t="n">
        <v>15992.4</v>
      </c>
    </row>
    <row r="13">
      <c r="A13" t="inlineStr">
        <is>
          <t>2026-07</t>
        </is>
      </c>
      <c r="B13" t="n">
        <v>10</v>
      </c>
      <c r="C13" s="12" t="n">
        <v>3653.599999999999</v>
      </c>
      <c r="D13" s="12" t="n">
        <v>2390.2</v>
      </c>
      <c r="E13" s="12" t="n">
        <v>2735.6</v>
      </c>
      <c r="F13" s="5">
        <f>D13-E13</f>
        <v/>
      </c>
      <c r="G13" s="5">
        <f>D13-C13</f>
        <v/>
      </c>
      <c r="H13" s="7">
        <f>IF(E13=0,"",D13/E13)</f>
        <v/>
      </c>
      <c r="I13" s="7">
        <f>IF(C13=0,"",D13/C13)</f>
        <v/>
      </c>
      <c r="J13" s="6">
        <f>D13/$C$1</f>
        <v/>
      </c>
      <c r="K13" s="7">
        <f>IF($C$1-E13=0,"",($C$1-D13)/($C$1-E13))</f>
        <v/>
      </c>
      <c r="L13" s="5">
        <f>IF(OR(H13="",H13=0),"",E13+($C$1-D13)/H13)</f>
        <v/>
      </c>
      <c r="M13" s="8" t="n">
        <v>8.103933027957668</v>
      </c>
      <c r="N13" s="7">
        <f>IF(B13=0,"",M13/B13)</f>
        <v/>
      </c>
      <c r="O13" s="5" t="n">
        <v>16053.8</v>
      </c>
    </row>
    <row r="14">
      <c r="A14" t="inlineStr">
        <is>
          <t>2026-08</t>
        </is>
      </c>
      <c r="B14" t="n">
        <v>11</v>
      </c>
      <c r="C14" s="12" t="n">
        <v>4404.3</v>
      </c>
      <c r="D14" s="12" t="n">
        <v>2979.1</v>
      </c>
      <c r="E14" s="12" t="n">
        <v>3380.3</v>
      </c>
      <c r="F14" s="5">
        <f>D14-E14</f>
        <v/>
      </c>
      <c r="G14" s="5">
        <f>D14-C14</f>
        <v/>
      </c>
      <c r="H14" s="7">
        <f>IF(E14=0,"",D14/E14)</f>
        <v/>
      </c>
      <c r="I14" s="7">
        <f>IF(C14=0,"",D14/C14)</f>
        <v/>
      </c>
      <c r="J14" s="6">
        <f>D14/$C$1</f>
        <v/>
      </c>
      <c r="K14" s="7">
        <f>IF($C$1-E14=0,"",($C$1-D14)/($C$1-E14))</f>
        <v/>
      </c>
      <c r="L14" s="5">
        <f>IF(OR(H14="",H14=0),"",E14+($C$1-D14)/H14)</f>
        <v/>
      </c>
      <c r="M14" s="8" t="n">
        <v>9.031030024421778</v>
      </c>
      <c r="N14" s="7">
        <f>IF(B14=0,"",M14/B14)</f>
        <v/>
      </c>
      <c r="O14" s="5" t="n">
        <v>16115.4</v>
      </c>
    </row>
    <row r="15">
      <c r="A15" t="inlineStr">
        <is>
          <t>2026-09</t>
        </is>
      </c>
      <c r="B15" t="n">
        <v>12</v>
      </c>
      <c r="C15" s="12" t="n">
        <v>5200.2</v>
      </c>
      <c r="D15" s="12" t="n">
        <v>3640</v>
      </c>
      <c r="E15" s="12" t="n">
        <v>4115.4</v>
      </c>
      <c r="F15" s="5">
        <f>D15-E15</f>
        <v/>
      </c>
      <c r="G15" s="5">
        <f>D15-C15</f>
        <v/>
      </c>
      <c r="H15" s="7">
        <f>IF(E15=0,"",D15/E15)</f>
        <v/>
      </c>
      <c r="I15" s="7">
        <f>IF(C15=0,"",D15/C15)</f>
        <v/>
      </c>
      <c r="J15" s="6">
        <f>D15/$C$1</f>
        <v/>
      </c>
      <c r="K15" s="7">
        <f>IF($C$1-E15=0,"",($C$1-D15)/($C$1-E15))</f>
        <v/>
      </c>
      <c r="L15" s="5">
        <f>IF(OR(H15="",H15=0),"",E15+($C$1-D15)/H15)</f>
        <v/>
      </c>
      <c r="M15" s="8" t="n">
        <v>9.980462577215919</v>
      </c>
      <c r="N15" s="7">
        <f>IF(B15=0,"",M15/B15)</f>
        <v/>
      </c>
      <c r="O15" s="5" t="n">
        <v>16177</v>
      </c>
    </row>
    <row r="16">
      <c r="A16" t="inlineStr">
        <is>
          <t>2026-10</t>
        </is>
      </c>
      <c r="B16" t="n">
        <v>13</v>
      </c>
      <c r="C16" s="12" t="n">
        <v>6030.599999999999</v>
      </c>
      <c r="D16" s="12" t="n">
        <v>4357.8</v>
      </c>
      <c r="E16" s="12" t="n">
        <v>4873.5</v>
      </c>
      <c r="F16" s="5">
        <f>D16-E16</f>
        <v/>
      </c>
      <c r="G16" s="5">
        <f>D16-C16</f>
        <v/>
      </c>
      <c r="H16" s="7">
        <f>IF(E16=0,"",D16/E16)</f>
        <v/>
      </c>
      <c r="I16" s="7">
        <f>IF(C16=0,"",D16/C16)</f>
        <v/>
      </c>
      <c r="J16" s="6">
        <f>D16/$C$1</f>
        <v/>
      </c>
      <c r="K16" s="7">
        <f>IF($C$1-E16=0,"",($C$1-D16)/($C$1-E16))</f>
        <v/>
      </c>
      <c r="L16" s="5">
        <f>IF(OR(H16="",H16=0),"",E16+($C$1-D16)/H16)</f>
        <v/>
      </c>
      <c r="M16" s="8" t="n">
        <v>10.93805781270814</v>
      </c>
      <c r="N16" s="7">
        <f>IF(B16=0,"",M16/B16)</f>
        <v/>
      </c>
      <c r="O16" s="5" t="n">
        <v>16238.5</v>
      </c>
    </row>
    <row r="17">
      <c r="A17" t="inlineStr">
        <is>
          <t>2026-11</t>
        </is>
      </c>
      <c r="B17" t="n">
        <v>14</v>
      </c>
      <c r="C17" s="12" t="n">
        <v>6884.5</v>
      </c>
      <c r="D17" s="12" t="n">
        <v>5028.7</v>
      </c>
      <c r="E17" s="12" t="n">
        <v>5572.599999999999</v>
      </c>
      <c r="F17" s="5">
        <f>D17-E17</f>
        <v/>
      </c>
      <c r="G17" s="5">
        <f>D17-C17</f>
        <v/>
      </c>
      <c r="H17" s="7">
        <f>IF(E17=0,"",D17/E17)</f>
        <v/>
      </c>
      <c r="I17" s="7">
        <f>IF(C17=0,"",D17/C17)</f>
        <v/>
      </c>
      <c r="J17" s="6">
        <f>D17/$C$1</f>
        <v/>
      </c>
      <c r="K17" s="7">
        <f>IF($C$1-E17=0,"",($C$1-D17)/($C$1-E17))</f>
        <v/>
      </c>
      <c r="L17" s="5">
        <f>IF(OR(H17="",H17=0),"",E17+($C$1-D17)/H17)</f>
        <v/>
      </c>
      <c r="M17" s="8" t="n">
        <v>11.78452066842568</v>
      </c>
      <c r="N17" s="7">
        <f>IF(B17=0,"",M17/B17)</f>
        <v/>
      </c>
      <c r="O17" s="5" t="n">
        <v>16300</v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48" customWidth="1" min="3" max="3"/>
  </cols>
  <sheetData>
    <row r="1" ht="30" customHeight="1">
      <c r="A1" s="13" t="inlineStr">
        <is>
          <t>flag</t>
        </is>
      </c>
      <c r="B1" s="13" t="inlineStr">
        <is>
          <t>raised</t>
        </is>
      </c>
      <c r="C1" s="13" t="inlineStr">
        <is>
          <t>detail</t>
        </is>
      </c>
    </row>
    <row r="2">
      <c r="A2" t="inlineStr">
        <is>
          <t>TCPI to the EAC exceeds the CPI by more than 0.10</t>
        </is>
      </c>
      <c r="B2" t="inlineStr"/>
      <c r="C2" t="inlineStr">
        <is>
          <t>TCPI(EAC) 0.976 against CPI 0.902: to land on the EAC the remaining work has to run at a CPI of 0.976, against 0.902 so far.</t>
        </is>
      </c>
    </row>
    <row r="3">
      <c r="A3" t="inlineStr">
        <is>
          <t>Contractor EAC below every independent EAC</t>
        </is>
      </c>
      <c r="B3" t="inlineStr">
        <is>
          <t>YES</t>
        </is>
      </c>
      <c r="C3" t="inlineStr">
        <is>
          <t>EAC 16,300.0 against the lowest independent EAC 16,773.4.</t>
        </is>
      </c>
    </row>
    <row r="4">
      <c r="A4" t="inlineStr">
        <is>
          <t>EAC implies the CPI recovering by more than 0.10 after 20% complete</t>
        </is>
      </c>
      <c r="B4" t="inlineStr"/>
      <c r="C4" t="inlineStr">
        <is>
          <t>The EAC implies a final CPI of 0.951, against 0.902 at 32% complete; programs rarely recover 0.10 past 20%.</t>
        </is>
      </c>
    </row>
    <row r="5">
      <c r="A5" t="inlineStr">
        <is>
          <t>SPI has recovered but SPI(t) has not</t>
        </is>
      </c>
      <c r="B5" t="inlineStr"/>
      <c r="C5" t="inlineStr">
        <is>
          <t>SPI 0.730, SPI(t) 0.842 at 32% complete: late in a program SPI returns towards 1.0 whatever the schedule.</t>
        </is>
      </c>
    </row>
    <row r="6">
      <c r="A6" t="inlineStr">
        <is>
          <t>TCPI to BAC above 1.10</t>
        </is>
      </c>
      <c r="B6" t="inlineStr"/>
      <c r="C6" t="inlineStr">
        <is>
          <t>Finishing within budget needs a CPI of 1.055 from here.</t>
        </is>
      </c>
    </row>
    <row r="7">
      <c r="A7" t="inlineStr">
        <is>
          <t>Earned value exceeds the budget at completion</t>
        </is>
      </c>
      <c r="B7" t="inlineStr"/>
      <c r="C7" t="inlineStr">
        <is>
          <t>Earned value is 32% of the budget of 15,500.4. Check the BCWP figures, and whether the budget at completion is right.</t>
        </is>
      </c>
    </row>
  </sheetData>
  <autoFilter ref="A1:C7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</cols>
  <sheetData>
    <row r="1">
      <c r="A1" s="2" t="inlineStr">
        <is>
          <t>Simulated from the program's own record; see the Assumptions sheet.</t>
        </is>
      </c>
    </row>
    <row r="3" ht="30" customHeight="1">
      <c r="A3" s="13" t="inlineStr">
        <is>
          <t>confidence</t>
        </is>
      </c>
      <c r="B3" s="13" t="inlineStr">
        <is>
          <t>eac</t>
        </is>
      </c>
      <c r="C3" s="13" t="inlineStr">
        <is>
          <t>finish</t>
        </is>
      </c>
    </row>
    <row r="4">
      <c r="A4" s="14" t="n">
        <v>0.1</v>
      </c>
      <c r="B4" s="5" t="n">
        <v>16694.56321823234</v>
      </c>
      <c r="C4" s="8" t="n">
        <v>33.47809675897646</v>
      </c>
    </row>
    <row r="5">
      <c r="A5" s="14" t="n">
        <v>0.2</v>
      </c>
      <c r="B5" s="5" t="n">
        <v>16825.20502419267</v>
      </c>
      <c r="C5" s="8" t="n">
        <v>33.9130056231586</v>
      </c>
    </row>
    <row r="6">
      <c r="A6" s="14" t="n">
        <v>0.3</v>
      </c>
      <c r="B6" s="5" t="n">
        <v>16905.77149954062</v>
      </c>
      <c r="C6" s="8" t="n">
        <v>34.39646274091526</v>
      </c>
    </row>
    <row r="7">
      <c r="A7" s="14" t="n">
        <v>0.4</v>
      </c>
      <c r="B7" s="5" t="n">
        <v>16968.99906352846</v>
      </c>
      <c r="C7" s="8" t="n">
        <v>34.73425826891158</v>
      </c>
    </row>
    <row r="8">
      <c r="A8" s="14" t="n">
        <v>0.5</v>
      </c>
      <c r="B8" s="5" t="n">
        <v>17015.68132135922</v>
      </c>
      <c r="C8" s="8" t="n">
        <v>34.98733419342318</v>
      </c>
    </row>
    <row r="9">
      <c r="A9" s="14" t="n">
        <v>0.6</v>
      </c>
      <c r="B9" s="5" t="n">
        <v>17058.24798502864</v>
      </c>
      <c r="C9" s="8" t="n">
        <v>35.26074752136555</v>
      </c>
    </row>
    <row r="10">
      <c r="A10" s="14" t="n">
        <v>0.7</v>
      </c>
      <c r="B10" s="5" t="n">
        <v>17101.22575862325</v>
      </c>
      <c r="C10" s="8" t="n">
        <v>35.51004021767773</v>
      </c>
    </row>
    <row r="11">
      <c r="A11" s="14" t="n">
        <v>0.8</v>
      </c>
      <c r="B11" s="5" t="n">
        <v>17150.65948763002</v>
      </c>
      <c r="C11" s="8" t="n">
        <v>35.85913015834853</v>
      </c>
    </row>
    <row r="12">
      <c r="A12" s="14" t="n">
        <v>0.9</v>
      </c>
      <c r="B12" s="5" t="n">
        <v>17258.78763765523</v>
      </c>
      <c r="C12" s="8" t="n">
        <v>36.39500023146879</v>
      </c>
    </row>
  </sheetData>
  <autoFilter ref="A3:C12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10" customWidth="1" min="4" max="4"/>
    <col width="20" customWidth="1" min="5" max="5"/>
    <col width="21" customWidth="1" min="6" max="6"/>
    <col width="21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Status period values per control account, worst CPI first.</t>
        </is>
      </c>
    </row>
    <row r="3" ht="30" customHeight="1">
      <c r="A3" s="13" t="inlineStr">
        <is>
          <t>account</t>
        </is>
      </c>
      <c r="B3" s="13" t="inlineStr">
        <is>
          <t>BAC</t>
        </is>
      </c>
      <c r="C3" s="13" t="inlineStr">
        <is>
          <t>BCWS</t>
        </is>
      </c>
      <c r="D3" s="13" t="inlineStr">
        <is>
          <t>BCWP</t>
        </is>
      </c>
      <c r="E3" s="13" t="inlineStr">
        <is>
          <t>ACWP</t>
        </is>
      </c>
      <c r="F3" s="13" t="inlineStr">
        <is>
          <t>CV</t>
        </is>
      </c>
      <c r="G3" s="13" t="inlineStr">
        <is>
          <t>SV</t>
        </is>
      </c>
      <c r="H3" s="13" t="inlineStr">
        <is>
          <t>CPI</t>
        </is>
      </c>
      <c r="I3" s="13" t="inlineStr">
        <is>
          <t>SPI</t>
        </is>
      </c>
      <c r="J3" s="13" t="inlineStr">
        <is>
          <t>SPI(t)</t>
        </is>
      </c>
      <c r="K3" s="13" t="inlineStr">
        <is>
          <t>IEAC (CPI)</t>
        </is>
      </c>
    </row>
    <row r="4">
      <c r="A4" t="inlineStr">
        <is>
          <t>1.2 Software</t>
        </is>
      </c>
      <c r="B4" s="5" t="n">
        <v>4000.200000000002</v>
      </c>
      <c r="C4" s="5" t="n">
        <v>1776.7</v>
      </c>
      <c r="D4" s="5" t="n">
        <v>1233.7</v>
      </c>
      <c r="E4" s="5" t="n">
        <v>1395.5</v>
      </c>
      <c r="F4" s="5" t="n">
        <v>-161.8</v>
      </c>
      <c r="G4" s="5" t="n">
        <v>-543.0000000000002</v>
      </c>
      <c r="H4" s="7" t="n">
        <v>0.8840558939448226</v>
      </c>
      <c r="I4" s="7" t="n">
        <v>0.6943772161873135</v>
      </c>
      <c r="J4" s="7" t="n">
        <v>0.8194811517596328</v>
      </c>
      <c r="K4" s="5" t="n">
        <v>4524.827024398153</v>
      </c>
    </row>
    <row r="5">
      <c r="A5" t="inlineStr">
        <is>
          <t>1.1 Air vehicle</t>
        </is>
      </c>
      <c r="B5" s="5" t="n">
        <v>9000.199999999999</v>
      </c>
      <c r="C5" s="5" t="n">
        <v>3997.4</v>
      </c>
      <c r="D5" s="5" t="n">
        <v>2740.5</v>
      </c>
      <c r="E5" s="5" t="n">
        <v>3030.2</v>
      </c>
      <c r="F5" s="5" t="n">
        <v>-289.6999999999998</v>
      </c>
      <c r="G5" s="5" t="n">
        <v>-1256.9</v>
      </c>
      <c r="H5" s="7" t="n">
        <v>0.9043957494554815</v>
      </c>
      <c r="I5" s="7" t="n">
        <v>0.6855706209035874</v>
      </c>
      <c r="J5" s="7" t="n">
        <v>0.8140322131882402</v>
      </c>
      <c r="K5" s="5" t="n">
        <v>9951.616872833423</v>
      </c>
    </row>
    <row r="6">
      <c r="A6" t="inlineStr">
        <is>
          <t>1.3 Systems engineering</t>
        </is>
      </c>
      <c r="B6" s="5" t="n">
        <v>2500</v>
      </c>
      <c r="C6" s="5" t="n">
        <v>1110.4</v>
      </c>
      <c r="D6" s="5" t="n">
        <v>1054.5</v>
      </c>
      <c r="E6" s="5" t="n">
        <v>1146.9</v>
      </c>
      <c r="F6" s="5" t="n">
        <v>-92.39999999999986</v>
      </c>
      <c r="G6" s="5" t="n">
        <v>-55.89999999999986</v>
      </c>
      <c r="H6" s="7" t="n">
        <v>0.9194349986921267</v>
      </c>
      <c r="I6" s="7" t="n">
        <v>0.9496577809798272</v>
      </c>
      <c r="J6" s="7" t="n">
        <v>0.9710032161012554</v>
      </c>
      <c r="K6" s="5" t="n">
        <v>2719.061166429587</v>
      </c>
    </row>
  </sheetData>
  <autoFilter ref="A3:K6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2" t="inlineStr">
        <is>
          <t>Questions to ask about the data before trusting the metrics. A negative period value can be a legitimate correction.</t>
        </is>
      </c>
    </row>
    <row r="3" ht="30" customHeight="1">
      <c r="A3" s="13" t="inlineStr">
        <is>
          <t>account</t>
        </is>
      </c>
      <c r="B3" s="13" t="inlineStr">
        <is>
          <t>period</t>
        </is>
      </c>
      <c r="C3" s="13" t="inlineStr">
        <is>
          <t>check</t>
        </is>
      </c>
      <c r="D3" s="13" t="inlineStr">
        <is>
          <t>detail</t>
        </is>
      </c>
    </row>
    <row r="4"/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1" customWidth="1" min="4" max="4"/>
    <col width="21" customWidth="1" min="5" max="5"/>
    <col width="20" customWidth="1" min="6" max="6"/>
    <col width="20" customWidth="1" min="7" max="7"/>
    <col width="48" customWidth="1" min="8" max="8"/>
  </cols>
  <sheetData>
    <row r="1">
      <c r="A1" s="2" t="inlineStr">
        <is>
          <t>Accounts whose cumulative variance breaks the thresholds ({'cv_pct': 10.0, 'sv_pct': 10.0, 'cv_dollars': None, 'sv_dollars': None}).</t>
        </is>
      </c>
    </row>
    <row r="3" ht="30" customHeight="1">
      <c r="A3" s="13" t="inlineStr">
        <is>
          <t>account</t>
        </is>
      </c>
      <c r="B3" s="13" t="inlineStr">
        <is>
          <t>cv</t>
        </is>
      </c>
      <c r="C3" s="13" t="inlineStr">
        <is>
          <t>cv_pct</t>
        </is>
      </c>
      <c r="D3" s="13" t="inlineStr">
        <is>
          <t>sv</t>
        </is>
      </c>
      <c r="E3" s="13" t="inlineStr">
        <is>
          <t>sv_pct</t>
        </is>
      </c>
      <c r="F3" s="13" t="inlineStr">
        <is>
          <t>cpi</t>
        </is>
      </c>
      <c r="G3" s="13" t="inlineStr">
        <is>
          <t>spi</t>
        </is>
      </c>
      <c r="H3" s="13" t="inlineStr">
        <is>
          <t>why</t>
        </is>
      </c>
    </row>
    <row r="4">
      <c r="A4" t="inlineStr">
        <is>
          <t>1.1 Air vehicle</t>
        </is>
      </c>
      <c r="B4" s="5" t="n">
        <v>-289.6999999999998</v>
      </c>
      <c r="C4" s="15" t="n">
        <v>-10.57106367451194</v>
      </c>
      <c r="D4" s="5" t="n">
        <v>-1256.9</v>
      </c>
      <c r="E4" s="15" t="n">
        <v>-31.44293790964126</v>
      </c>
      <c r="F4" s="7" t="n">
        <v>0.9043957494554815</v>
      </c>
      <c r="G4" s="7" t="n">
        <v>0.6855706209035874</v>
      </c>
      <c r="H4" t="inlineStr">
        <is>
          <t>cost variance -289.70 (-10.6%); schedule variance -1,256.90 (-31.4%)</t>
        </is>
      </c>
    </row>
    <row r="5">
      <c r="A5" t="inlineStr">
        <is>
          <t>1.2 Software</t>
        </is>
      </c>
      <c r="B5" s="5" t="n">
        <v>-161.8</v>
      </c>
      <c r="C5" s="15" t="n">
        <v>-13.11501985896085</v>
      </c>
      <c r="D5" s="5" t="n">
        <v>-543.0000000000002</v>
      </c>
      <c r="E5" s="15" t="n">
        <v>-30.56227838126865</v>
      </c>
      <c r="F5" s="7" t="n">
        <v>0.8840558939448226</v>
      </c>
      <c r="G5" s="7" t="n">
        <v>0.6943772161873135</v>
      </c>
      <c r="H5" t="inlineStr">
        <is>
          <t>cost variance -161.80 (-13.1%); schedule variance -543.00 (-30.6%)</t>
        </is>
      </c>
    </row>
  </sheetData>
  <autoFilter ref="A3:H5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6" t="inlineStr">
        <is>
          <t>Setting</t>
        </is>
      </c>
      <c r="B1" s="16" t="inlineStr">
        <is>
          <t>Value</t>
        </is>
      </c>
    </row>
    <row r="2">
      <c r="A2" t="inlineStr">
        <is>
          <t>status period</t>
        </is>
      </c>
      <c r="B2" t="inlineStr">
        <is>
          <t>2026-11</t>
        </is>
      </c>
    </row>
    <row r="3">
      <c r="A3" t="inlineStr">
        <is>
          <t>BAC</t>
        </is>
      </c>
      <c r="B3" t="n">
        <v>15500.4</v>
      </c>
    </row>
    <row r="4">
      <c r="A4" t="inlineStr">
        <is>
          <t>simulated completions</t>
        </is>
      </c>
      <c r="B4" t="n">
        <v>20000</v>
      </c>
    </row>
    <row r="5">
      <c r="A5" t="inlineStr">
        <is>
          <t>seed</t>
        </is>
      </c>
      <c r="B5" t="n">
        <v>0</v>
      </c>
    </row>
    <row r="6">
      <c r="A6" t="inlineStr">
        <is>
          <t>units</t>
        </is>
      </c>
      <c r="B6" t="inlineStr">
        <is>
          <t>as entered</t>
        </is>
      </c>
    </row>
    <row r="7">
      <c r="A7" t="inlineStr">
        <is>
          <t>variance thresholds</t>
        </is>
      </c>
      <c r="B7" t="inlineStr">
        <is>
          <t>{"cv_pct": 10.0, "sv_pct": 10.0, "cv_dollars": null, "sv_dollars": null}</t>
        </is>
      </c>
    </row>
    <row r="9">
      <c r="A9" s="3" t="inlineStr">
        <is>
          <t>Notes</t>
        </is>
      </c>
    </row>
    <row r="10" ht="15" customHeight="1">
      <c r="A10" s="17" t="inlineStr">
        <is>
          <t>Drawn from 14 periods of the program's own performance, with persistence 0.90 between periods.</t>
        </is>
      </c>
    </row>
  </sheetData>
  <mergeCells count="1">
    <mergeCell ref="A10:B10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2026-09-26T19:16:33Z</dcterms:created>
  <dcterms:modified xmlns:dcterms="http://purl.org/dc/terms/" xmlns:xsi="http://www.w3.org/2001/XMLSchema-instance" xsi:type="dcterms:W3CDTF">2026-09-26T19:16:33Z</dcterms:modified>
</cp:coreProperties>
</file>